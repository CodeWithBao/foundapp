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975304490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List" sheetId="1" r:id="Ra423279292a5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3b5425eb84910" /><Relationship Type="http://schemas.openxmlformats.org/officeDocument/2006/relationships/theme" Target="/xl/theme/theme1.xml" Id="Rc8431c53e95847db" /><Relationship Type="http://schemas.openxmlformats.org/officeDocument/2006/relationships/sharedStrings" Target="/xl/sharedStrings.xml" Id="Rd6654951cb8146d3" /><Relationship Type="http://schemas.openxmlformats.org/officeDocument/2006/relationships/worksheet" Target="/xl/worksheets/sheet1.xml" Id="Ra423279292a5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3" hidden="0" customWidth="1"/>
    <x:col min="3" max="3" width="14" hidden="0" customWidth="1"/>
    <x:col min="4" max="4" width="12" hidden="0" customWidth="1"/>
    <x:col min="5" max="5" width="10" hidden="0" customWidth="1"/>
    <x:col min="6" max="6" width="9" hidden="0" customWidth="1"/>
    <x:col min="7" max="7" width="10" hidden="0" customWidth="1"/>
    <x:col min="8" max="8" width="13" hidden="0" customWidth="1"/>
    <x:col min="9" max="9" width="40" hidden="0" customWidth="1"/>
    <x:col min="10" max="10" width="14" hidden="0" customWidth="1"/>
    <x:col min="11" max="11" width="12" hidden="0" customWidth="1"/>
  </x:cols>
  <x:sheetData>
    <x:row r="1" ht="28" customHeight="1">
      <x:c r="A1" s="5" t="str">
        <x:v>UNIFIND DNTU - RISK 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Score = Probability × Impact; High = 6-9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6" customHeight="1">
      <x:c r="A4" s="22" t="str">
        <x:v>ID</x:v>
      </x:c>
      <x:c r="B4" s="22" t="str">
        <x:v>Risk</x:v>
      </x:c>
      <x:c r="C4" s="22" t="str">
        <x:v>Category</x:v>
      </x:c>
      <x:c r="D4" s="22" t="str">
        <x:v>Probability</x:v>
      </x:c>
      <x:c r="E4" s="22" t="str">
        <x:v>Impact</x:v>
      </x:c>
      <x:c r="F4" s="22" t="str">
        <x:v>Score</x:v>
      </x:c>
      <x:c r="G4" s="22" t="str">
        <x:v>Level</x:v>
      </x:c>
      <x:c r="H4" s="22" t="str">
        <x:v>Response</x:v>
      </x:c>
      <x:c r="I4" s="22" t="str">
        <x:v>Mitigation / Contingency</x:v>
      </x:c>
      <x:c r="J4" s="22" t="str">
        <x:v>Owner</x:v>
      </x:c>
      <x:c r="K4" s="22" t="str">
        <x:v>Status</x:v>
      </x:c>
    </x:row>
    <x:row r="5">
      <x:c r="A5" s="29" t="str">
        <x:v>R01</x:v>
      </x:c>
      <x:c r="B5" s="29" t="str">
        <x:v>Phạm vi quá rộng do thêm AI/realtime/map sớm</x:v>
      </x:c>
      <x:c r="C5" s="29" t="str">
        <x:v>Scope</x:v>
      </x:c>
      <x:c r="D5" s="29" t="n">
        <x:v>3</x:v>
      </x:c>
      <x:c r="E5" s="29" t="n">
        <x:v>3</x:v>
      </x:c>
      <x:c r="F5" s="29" t="n">
        <x:f>D5*E5</x:f>
        <x:v>9</x:v>
      </x:c>
      <x:c r="G5" s="29" t="str">
        <x:f>IF(F5&gt;=6,"High",IF(F5&gt;=3,"Medium","Low"))</x:f>
        <x:v>High</x:v>
      </x:c>
      <x:c r="H5" s="29" t="str">
        <x:v>Mitigate</x:v>
      </x:c>
      <x:c r="I5" s="29" t="str">
        <x:v>Giữ 8 UC; AI để future backlog</x:v>
      </x:c>
      <x:c r="J5" s="29" t="str">
        <x:v>Phạm Đình Bảo</x:v>
      </x:c>
      <x:c r="K5" s="29" t="str">
        <x:v>Open</x:v>
      </x:c>
    </x:row>
    <x:row r="6">
      <x:c r="A6" s="32" t="str">
        <x:v>R02</x:v>
      </x:c>
      <x:c r="B6" s="32" t="str">
        <x:v>Người thực hiện chưa quen Go/Gin/GORM</x:v>
      </x:c>
      <x:c r="C6" s="32" t="str">
        <x:v>Technical</x:v>
      </x:c>
      <x:c r="D6" s="32" t="n">
        <x:v>2</x:v>
      </x:c>
      <x:c r="E6" s="32" t="n">
        <x:v>3</x:v>
      </x:c>
      <x:c r="F6" s="32" t="n">
        <x:f>D6*E6</x:f>
        <x:v>6</x:v>
      </x:c>
      <x:c r="G6" s="32" t="str">
        <x:f>IF(F6&gt;=6,"High",IF(F6&gt;=3,"Medium","Low"))</x:f>
        <x:v>High</x:v>
      </x:c>
      <x:c r="H6" s="32" t="str">
        <x:v>Mitigate</x:v>
      </x:c>
      <x:c r="I6" s="32" t="str">
        <x:v>Spike nhỏ health API + CRUD trước</x:v>
      </x:c>
      <x:c r="J6" s="32" t="str">
        <x:v>Phạm Đình Bảo</x:v>
      </x:c>
      <x:c r="K6" s="32" t="str">
        <x:v>Open</x:v>
      </x:c>
    </x:row>
    <x:row r="7">
      <x:c r="A7" s="29" t="str">
        <x:v>R03</x:v>
      </x:c>
      <x:c r="B7" s="29" t="str">
        <x:v>Frontend/backend contract thay đổi liên tục</x:v>
      </x:c>
      <x:c r="C7" s="29" t="str">
        <x:v>Technical</x:v>
      </x:c>
      <x:c r="D7" s="29" t="n">
        <x:v>2</x:v>
      </x:c>
      <x:c r="E7" s="29" t="n">
        <x:v>2</x:v>
      </x:c>
      <x:c r="F7" s="29" t="n">
        <x:f>D7*E7</x:f>
        <x:v>4</x:v>
      </x:c>
      <x:c r="G7" s="29" t="str">
        <x:f>IF(F7&gt;=6,"High",IF(F7&gt;=3,"Medium","Low"))</x:f>
        <x:v>Medium</x:v>
      </x:c>
      <x:c r="H7" s="29" t="str">
        <x:v>Mitigate</x:v>
      </x:c>
      <x:c r="I7" s="29" t="str">
        <x:v>Chốt DTO/API convention</x:v>
      </x:c>
      <x:c r="J7" s="29" t="str">
        <x:v>Phạm Đình Bảo</x:v>
      </x:c>
      <x:c r="K7" s="29" t="str">
        <x:v>Open</x:v>
      </x:c>
    </x:row>
    <x:row r="8">
      <x:c r="A8" s="32" t="str">
        <x:v>R04</x:v>
      </x:c>
      <x:c r="B8" s="32" t="str">
        <x:v>Sai phân quyền USER/STAFF/ADMIN</x:v>
      </x:c>
      <x:c r="C8" s="32" t="str">
        <x:v>Security</x:v>
      </x:c>
      <x:c r="D8" s="32" t="n">
        <x:v>2</x:v>
      </x:c>
      <x:c r="E8" s="32" t="n">
        <x:v>3</x:v>
      </x:c>
      <x:c r="F8" s="32" t="n">
        <x:f>D8*E8</x:f>
        <x:v>6</x:v>
      </x:c>
      <x:c r="G8" s="32" t="str">
        <x:f>IF(F8&gt;=6,"High",IF(F8&gt;=3,"Medium","Low"))</x:f>
        <x:v>High</x:v>
      </x:c>
      <x:c r="H8" s="32" t="str">
        <x:v>Mitigate</x:v>
      </x:c>
      <x:c r="I8" s="32" t="str">
        <x:v>Role middleware + test 401/403</x:v>
      </x:c>
      <x:c r="J8" s="32" t="str">
        <x:v>Phạm Đình Bảo</x:v>
      </x:c>
      <x:c r="K8" s="32" t="str">
        <x:v>Open</x:v>
      </x:c>
    </x:row>
    <x:row r="9">
      <x:c r="A9" s="29" t="str">
        <x:v>R05</x:v>
      </x:c>
      <x:c r="B9" s="29" t="str">
        <x:v>Lộ .env/JWT secret trên GitHub</x:v>
      </x:c>
      <x:c r="C9" s="29" t="str">
        <x:v>Security</x:v>
      </x:c>
      <x:c r="D9" s="29" t="n">
        <x:v>2</x:v>
      </x:c>
      <x:c r="E9" s="29" t="n">
        <x:v>3</x:v>
      </x:c>
      <x:c r="F9" s="29" t="n">
        <x:f>D9*E9</x:f>
        <x:v>6</x:v>
      </x:c>
      <x:c r="G9" s="29" t="str">
        <x:f>IF(F9&gt;=6,"High",IF(F9&gt;=3,"Medium","Low"))</x:f>
        <x:v>High</x:v>
      </x:c>
      <x:c r="H9" s="29" t="str">
        <x:v>Avoid</x:v>
      </x:c>
      <x:c r="I9" s="29" t="str">
        <x:v>gitignore + .env.example</x:v>
      </x:c>
      <x:c r="J9" s="29" t="str">
        <x:v>Phạm Đình Bảo</x:v>
      </x:c>
      <x:c r="K9" s="29" t="str">
        <x:v>Open</x:v>
      </x:c>
    </x:row>
    <x:row r="10">
      <x:c r="A10" s="32" t="str">
        <x:v>R06</x:v>
      </x:c>
      <x:c r="B10" s="32" t="str">
        <x:v>Tài liệu và code không khớp</x:v>
      </x:c>
      <x:c r="C10" s="32" t="str">
        <x:v>Quality</x:v>
      </x:c>
      <x:c r="D10" s="32" t="n">
        <x:v>3</x:v>
      </x:c>
      <x:c r="E10" s="32" t="n">
        <x:v>2</x:v>
      </x:c>
      <x:c r="F10" s="32" t="n">
        <x:f>D10*E10</x:f>
        <x:v>6</x:v>
      </x:c>
      <x:c r="G10" s="32" t="str">
        <x:f>IF(F10&gt;=6,"High",IF(F10&gt;=3,"Medium","Low"))</x:f>
        <x:v>High</x:v>
      </x:c>
      <x:c r="H10" s="32" t="str">
        <x:v>Mitigate</x:v>
      </x:c>
      <x:c r="I10" s="32" t="str">
        <x:v>Traceability review mỗi sprint</x:v>
      </x:c>
      <x:c r="J10" s="32" t="str">
        <x:v>Phạm Đình Bảo</x:v>
      </x:c>
      <x:c r="K10" s="32" t="str">
        <x:v>Open</x:v>
      </x:c>
    </x:row>
    <x:row r="11">
      <x:c r="A11" s="29" t="str">
        <x:v>R07</x:v>
      </x:c>
      <x:c r="B11" s="29" t="str">
        <x:v>Thiếu ảnh/logo DNTU được phép sử dụng</x:v>
      </x:c>
      <x:c r="C11" s="29" t="str">
        <x:v>External</x:v>
      </x:c>
      <x:c r="D11" s="29" t="n">
        <x:v>2</x:v>
      </x:c>
      <x:c r="E11" s="29" t="n">
        <x:v>2</x:v>
      </x:c>
      <x:c r="F11" s="29" t="n">
        <x:f>D11*E11</x:f>
        <x:v>4</x:v>
      </x:c>
      <x:c r="G11" s="29" t="str">
        <x:f>IF(F11&gt;=6,"High",IF(F11&gt;=3,"Medium","Low"))</x:f>
        <x:v>Medium</x:v>
      </x:c>
      <x:c r="H11" s="29" t="str">
        <x:v>Mitigate</x:v>
      </x:c>
      <x:c r="I11" s="29" t="str">
        <x:v>Placeholder hợp pháp; thay asset chính thức</x:v>
      </x:c>
      <x:c r="J11" s="29" t="str">
        <x:v>Phạm Đình Bảo</x:v>
      </x:c>
      <x:c r="K11" s="29" t="str">
        <x:v>Open</x:v>
      </x:c>
    </x:row>
    <x:row r="12">
      <x:c r="A12" s="32" t="str">
        <x:v>R08</x:v>
      </x:c>
      <x:c r="B12" s="32" t="str">
        <x:v>Database migration/seed lỗi giữa máy</x:v>
      </x:c>
      <x:c r="C12" s="32" t="str">
        <x:v>Technical</x:v>
      </x:c>
      <x:c r="D12" s="32" t="n">
        <x:v>2</x:v>
      </x:c>
      <x:c r="E12" s="32" t="n">
        <x:v>2</x:v>
      </x:c>
      <x:c r="F12" s="32" t="n">
        <x:f>D12*E12</x:f>
        <x:v>4</x:v>
      </x:c>
      <x:c r="G12" s="32" t="str">
        <x:f>IF(F12&gt;=6,"High",IF(F12&gt;=3,"Medium","Low"))</x:f>
        <x:v>Medium</x:v>
      </x:c>
      <x:c r="H12" s="32" t="str">
        <x:v>Mitigate</x:v>
      </x:c>
      <x:c r="I12" s="32" t="str">
        <x:v>Docker + migrations + deterministic seed</x:v>
      </x:c>
      <x:c r="J12" s="32" t="str">
        <x:v>Phạm Đình Bảo</x:v>
      </x:c>
      <x:c r="K12" s="32" t="str">
        <x:v>Open</x:v>
      </x:c>
    </x:row>
    <x:row r="13">
      <x:c r="A13" s="29" t="str">
        <x:v>R09</x:v>
      </x:c>
      <x:c r="B13" s="29" t="str">
        <x:v>Thiếu thời gian test cuối kỳ</x:v>
      </x:c>
      <x:c r="C13" s="29" t="str">
        <x:v>Schedule</x:v>
      </x:c>
      <x:c r="D13" s="29" t="n">
        <x:v>2</x:v>
      </x:c>
      <x:c r="E13" s="29" t="n">
        <x:v>3</x:v>
      </x:c>
      <x:c r="F13" s="29" t="n">
        <x:f>D13*E13</x:f>
        <x:v>6</x:v>
      </x:c>
      <x:c r="G13" s="29" t="str">
        <x:f>IF(F13&gt;=6,"High",IF(F13&gt;=3,"Medium","Low"))</x:f>
        <x:v>High</x:v>
      </x:c>
      <x:c r="H13" s="29" t="str">
        <x:v>Mitigate</x:v>
      </x:c>
      <x:c r="I13" s="29" t="str">
        <x:v>Viết test song song từ Sprint 2</x:v>
      </x:c>
      <x:c r="J13" s="29" t="str">
        <x:v>Phạm Đình Bảo</x:v>
      </x:c>
      <x:c r="K13" s="29" t="str">
        <x:v>Open</x:v>
      </x:c>
    </x:row>
    <x:row r="14">
      <x:c r="A14" s="32" t="str">
        <x:v>R10</x:v>
      </x:c>
      <x:c r="B14" s="32" t="str">
        <x:v>Dịch vụ deploy/Cloudinary hạn chế quota</x:v>
      </x:c>
      <x:c r="C14" s="32" t="str">
        <x:v>External</x:v>
      </x:c>
      <x:c r="D14" s="32" t="n">
        <x:v>1</x:v>
      </x:c>
      <x:c r="E14" s="32" t="n">
        <x:v>2</x:v>
      </x:c>
      <x:c r="F14" s="32" t="n">
        <x:f>D14*E14</x:f>
        <x:v>2</x:v>
      </x:c>
      <x:c r="G14" s="32" t="str">
        <x:f>IF(F14&gt;=6,"High",IF(F14&gt;=3,"Medium","Low"))</x:f>
        <x:v>Low</x:v>
      </x:c>
      <x:c r="H14" s="32" t="str">
        <x:v>Accept</x:v>
      </x:c>
      <x:c r="I14" s="32" t="str">
        <x:v>Fallback local/demo provider</x:v>
      </x:c>
      <x:c r="J14" s="32" t="str">
        <x:v>Phạm Đình Bảo</x:v>
      </x:c>
      <x:c r="K14" s="32" t="str">
        <x:v>Open</x:v>
      </x:c>
    </x:row>
  </x:sheetData>
  <x:mergeCells>
    <x:mergeCell ref="A1:K1"/>
    <x:mergeCell ref="A2:K2"/>
  </x:mergeCells>
  <x:conditionalFormatting sqref="F5:F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{D055638E-ECBC-9302-3810-7C6F276A642D}</x14:id>
        </x:ext>
      </x:extLst>
    </x:cfRule>
  </x:conditionalFormatting>
  <x:dataValidations count="1">
    <x:dataValidation type="list" sqref="K5:K50">
      <x:formula1>"Open,Monitoring,Closed"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055638E-ECBC-9302-3810-7C6F276A642D}">
            <x14:dataBar gradient="1">
              <x14:cfvo type="min"/>
              <x14:cfvo type="max"/>
              <x14:fillColor rgb="FFA02B93"/>
            </x14:dataBar>
          </x14:cfRule>
          <xm:sqref>F5:F14</xm:sqref>
        </x14:conditionalFormatting>
      </x14:conditionalFormattings>
    </x:ext>
  </x:extLst>
</x:worksheet>
</file>